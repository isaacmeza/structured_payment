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xr:revisionPtr revIDLastSave="0" documentId="13_ncr:1_{1E75A0CA-0C19-9344-8328-22154879F5BC}" xr6:coauthVersionLast="47" xr6:coauthVersionMax="47" xr10:uidLastSave="{00000000-0000-0000-0000-000000000000}"/>
  <bookViews>
    <workbookView xWindow="0" yWindow="660" windowWidth="30240" windowHeight="17720" activeTab="1"/>
  </bookViews>
  <sheets>
    <sheet name="exp_arms" sheetId="1" r:id="rId1"/>
    <sheet name="consort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<sst xmlns="http://schemas.openxmlformats.org/spreadsheetml/2006/main" xmlns:r="http://schemas.openxmlformats.org/officeDocument/2006/relationships" xmlns:xdr="http://schemas.openxmlformats.org/drawingml/2006/spreadsheetDrawing" count="31" uniqueCount="28">
  <si>
    <t>Control</t>
  </si>
  <si>
    <t>Timeline</t>
  </si>
  <si>
    <t xml:space="preserve">Forced Commitment </t>
  </si>
  <si>
    <t xml:space="preserve">Choice Commitment </t>
  </si>
  <si>
    <t>Start exp</t>
  </si>
  <si>
    <t>End exp</t>
  </si>
  <si>
    <t>Start data</t>
  </si>
  <si>
    <t>End data</t>
  </si>
  <si>
    <t>6 Branches in Mexico City selected to be part of study</t>
  </si>
  <si>
    <t>Status-quo</t>
  </si>
  <si>
    <t>Start obs</t>
  </si>
  <si>
    <t>End obs</t>
  </si>
  <si>
    <t>Experiment ends - All arms switched to status-quo</t>
  </si>
  <si>
    <t>: Random assignment begins at branch/day level</t>
  </si>
  <si>
    <t>Experimental Phase</t>
  </si>
  <si>
    <t>Branch-day</t>
  </si>
  <si>
    <t>Loans</t>
  </si>
  <si>
    <t>Branch-Days</t>
  </si>
  <si>
    <t>Take-up</t>
  </si>
  <si>
    <t>Survey</t>
  </si>
  <si>
    <t>End of observation period</t>
  </si>
  <si>
    <t>Mandatory structure</t>
  </si>
  <si>
    <t xml:space="preserve">Choice </t>
  </si>
  <si>
    <t>Mandatory</t>
  </si>
  <si>
    <t>Borrowers</t>
  </si>
  <si>
    <t>Borrowers surveys</t>
  </si>
  <si>
    <t>Loan's surveys</t>
  </si>
  <si>
    <t>Borrower's surveys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</si>
</sst>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true">
      <alignment horizontal="center"/>
    </xf>
    <xf numFmtId="14" fontId="0" fillId="0" borderId="0" xfId="0" applyNumberFormat="true"/>
    <xf numFmtId="0" fontId="0" fillId="0" borderId="0" xfId="0" applyAlignment="true">
      <alignment horizontal="center" wrapText="true"/>
    </xf>
    <xf numFmtId="0" fontId="1" fillId="0" borderId="3" xfId="0" applyFont="true" applyBorder="true" applyAlignment="true">
      <alignment horizontal="center"/>
    </xf>
    <xf numFmtId="0" fontId="2" fillId="0" borderId="0" xfId="0" applyFont="true" applyAlignment="true">
      <alignment horizontal="center"/>
    </xf>
    <xf numFmtId="0" fontId="2" fillId="0" borderId="0" xfId="0" applyFont="true"/>
    <xf numFmtId="14" fontId="2" fillId="0" borderId="0" xfId="0" applyNumberFormat="true" applyFont="true"/>
    <xf numFmtId="0" fontId="2" fillId="0" borderId="0" xfId="0" applyFont="true" applyAlignment="true">
      <alignment horizontal="right"/>
    </xf>
    <xf numFmtId="0" fontId="2" fillId="0" borderId="1" xfId="0" applyFont="true" applyBorder="true" applyAlignment="true">
      <alignment horizontal="center"/>
    </xf>
    <xf numFmtId="0" fontId="2" fillId="0" borderId="2" xfId="0" applyFont="true" applyBorder="true"/>
    <xf numFmtId="0" fontId="2" fillId="0" borderId="4" xfId="0" applyFont="true" applyBorder="true"/>
    <xf numFmtId="0" fontId="1" fillId="0" borderId="0" xfId="0" applyFont="true" applyAlignment="true">
      <alignment horizontal="center"/>
    </xf>
    <xf numFmtId="14" fontId="2" fillId="0" borderId="0" xfId="0" applyNumberFormat="true" applyFont="true" applyAlignment="true">
      <alignment horizontal="right" vertical="center"/>
    </xf>
    <xf numFmtId="0" fontId="2" fillId="0" borderId="0" xfId="0" applyFont="true" applyAlignment="true">
      <alignment horizontal="right" vertical="center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14" fontId="3" fillId="0" borderId="0" xfId="0" applyNumberFormat="true" applyFont="true" applyAlignment="true">
      <alignment horizontal="right" vertical="center"/>
    </xf>
    <xf numFmtId="0" fontId="1" fillId="0" borderId="0" xfId="0" applyFont="true"/>
    <xf numFmtId="0" fontId="2" fillId="0" borderId="4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/>
    </xf>
    <xf numFmtId="0" fontId="2" fillId="0" borderId="0" xfId="0" applyFont="true" applyAlignment="true">
      <alignment horizontal="right"/>
    </xf>
    <xf numFmtId="0" fontId="2" fillId="0" borderId="0" xfId="0" applyFont="true" applyAlignment="true">
      <alignment horizontal="center"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19050</xdr:colOff>
      <xdr:row>3</xdr:row>
      <xdr:rowOff>6350</xdr:rowOff>
    </xdr:from>
    <xdr:to>
      <xdr:col>1</xdr:col>
      <xdr:colOff>34925</xdr:colOff>
      <xdr:row>20</xdr:row>
      <xdr:rowOff>177800</xdr:rowOff>
    </xdr:to>
    <xdr:cxnSp macro="">
      <xdr:nvCxnSpPr>
        <xdr:cNvPr id="3" name="Straight Arrow Connector 2">
          <a:extLst>
            <a:ext xmlns:a16="http://schemas.microsoft.com/office/drawing/2014/main" uri="{FF2B5EF4-FFF2-40B4-BE49-F238E27FC236}">
              <a16:creationId xmlns:a16="http://schemas.microsoft.com/office/drawing/2014/main" id="{A416620F-0C5C-4B51-A667-453DFF2BB83C}"/>
            </a:ext>
          </a:extLst>
        </xdr:cNvPr>
        <xdr:cNvCxnSpPr/>
      </xdr:nvCxnSpPr>
      <xdr:spPr>
        <a:xfrm flipH="true">
          <a:off x="546100" y="673100"/>
          <a:ext cx="15875" cy="3790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47625</xdr:rowOff>
    </xdr:from>
    <xdr:to>
      <xdr:col>9</xdr:col>
      <xdr:colOff>0</xdr:colOff>
      <xdr:row>6</xdr:row>
      <xdr:rowOff>47625</xdr:rowOff>
    </xdr:to>
    <xdr:cxnSp macro="">
      <xdr:nvCxnSpPr>
        <xdr:cNvPr id="15" name="Straight Connector 14">
          <a:extLst>
            <a:ext xmlns:a16="http://schemas.microsoft.com/office/drawing/2014/main" uri="{FF2B5EF4-FFF2-40B4-BE49-F238E27FC236}">
              <a16:creationId xmlns:a16="http://schemas.microsoft.com/office/drawing/2014/main" id="{BC9A4331-B524-45B5-84F6-97E2CF83A495}"/>
            </a:ext>
          </a:extLst>
        </xdr:cNvPr>
        <xdr:cNvCxnSpPr/>
      </xdr:nvCxnSpPr>
      <xdr:spPr>
        <a:xfrm>
          <a:off x="2847975" y="1381125"/>
          <a:ext cx="381952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6</xdr:row>
      <xdr:rowOff>57150</xdr:rowOff>
    </xdr:from>
    <xdr:to>
      <xdr:col>6</xdr:col>
      <xdr:colOff>9525</xdr:colOff>
      <xdr:row>6</xdr:row>
      <xdr:rowOff>228600</xdr:rowOff>
    </xdr:to>
    <xdr:cxnSp macro="">
      <xdr:nvCxnSpPr>
        <xdr:cNvPr id="17" name="Straight Arrow Connector 16">
          <a:extLst>
            <a:ext xmlns:a16="http://schemas.microsoft.com/office/drawing/2014/main" uri="{FF2B5EF4-FFF2-40B4-BE49-F238E27FC236}">
              <a16:creationId xmlns:a16="http://schemas.microsoft.com/office/drawing/2014/main" id="{5E9AEC2A-9C9C-404D-8509-E2DD361629AC}"/>
            </a:ext>
          </a:extLst>
        </xdr:cNvPr>
        <xdr:cNvCxnSpPr/>
      </xdr:nvCxnSpPr>
      <xdr:spPr>
        <a:xfrm>
          <a:off x="3705225" y="1390650"/>
          <a:ext cx="0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434975</xdr:colOff>
      <xdr:row>6</xdr:row>
      <xdr:rowOff>53975</xdr:rowOff>
    </xdr:from>
    <xdr:to>
      <xdr:col>8</xdr:col>
      <xdr:colOff>434975</xdr:colOff>
      <xdr:row>6</xdr:row>
      <xdr:rowOff>228600</xdr:rowOff>
    </xdr:to>
    <xdr:cxnSp macro="">
      <xdr:nvCxnSpPr>
        <xdr:cNvPr id="19" name="Straight Arrow Connector 18">
          <a:extLst>
            <a:ext xmlns:a16="http://schemas.microsoft.com/office/drawing/2014/main" uri="{FF2B5EF4-FFF2-40B4-BE49-F238E27FC236}">
              <a16:creationId xmlns:a16="http://schemas.microsoft.com/office/drawing/2014/main" id="{9548A1A3-F8F5-4402-8534-3B22BF432855}"/>
            </a:ext>
          </a:extLst>
        </xdr:cNvPr>
        <xdr:cNvCxnSpPr/>
      </xdr:nvCxnSpPr>
      <xdr:spPr>
        <a:xfrm>
          <a:off x="6483350" y="1387475"/>
          <a:ext cx="0" cy="1746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454025</xdr:colOff>
      <xdr:row>8</xdr:row>
      <xdr:rowOff>9525</xdr:rowOff>
    </xdr:from>
    <xdr:to>
      <xdr:col>5</xdr:col>
      <xdr:colOff>454025</xdr:colOff>
      <xdr:row>9</xdr:row>
      <xdr:rowOff>9525</xdr:rowOff>
    </xdr:to>
    <xdr:cxnSp macro="">
      <xdr:nvCxnSpPr>
        <xdr:cNvPr id="20" name="Straight Arrow Connector 19">
          <a:extLst>
            <a:ext xmlns:a16="http://schemas.microsoft.com/office/drawing/2014/main" uri="{FF2B5EF4-FFF2-40B4-BE49-F238E27FC236}">
              <a16:creationId xmlns:a16="http://schemas.microsoft.com/office/drawing/2014/main" id="{55222A38-23FF-470F-83EB-A9B6A8C7D268}"/>
            </a:ext>
          </a:extLst>
        </xdr:cNvPr>
        <xdr:cNvCxnSpPr/>
      </xdr:nvCxnSpPr>
      <xdr:spPr>
        <a:xfrm>
          <a:off x="3302000" y="1790700"/>
          <a:ext cx="0" cy="1714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473075</xdr:colOff>
      <xdr:row>8</xdr:row>
      <xdr:rowOff>6350</xdr:rowOff>
    </xdr:from>
    <xdr:to>
      <xdr:col>6</xdr:col>
      <xdr:colOff>473075</xdr:colOff>
      <xdr:row>9</xdr:row>
      <xdr:rowOff>6350</xdr:rowOff>
    </xdr:to>
    <xdr:cxnSp macro="">
      <xdr:nvCxnSpPr>
        <xdr:cNvPr id="21" name="Straight Arrow Connector 20">
          <a:extLst>
            <a:ext xmlns:a16="http://schemas.microsoft.com/office/drawing/2014/main" uri="{FF2B5EF4-FFF2-40B4-BE49-F238E27FC236}">
              <a16:creationId xmlns:a16="http://schemas.microsoft.com/office/drawing/2014/main" id="{DDFFD6FF-3E05-4350-9EF3-8AB72D91B261}"/>
            </a:ext>
          </a:extLst>
        </xdr:cNvPr>
        <xdr:cNvCxnSpPr/>
      </xdr:nvCxnSpPr>
      <xdr:spPr>
        <a:xfrm>
          <a:off x="4168775" y="1787525"/>
          <a:ext cx="0" cy="1714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447675</xdr:colOff>
      <xdr:row>8</xdr:row>
      <xdr:rowOff>9525</xdr:rowOff>
    </xdr:from>
    <xdr:to>
      <xdr:col>8</xdr:col>
      <xdr:colOff>447675</xdr:colOff>
      <xdr:row>9</xdr:row>
      <xdr:rowOff>9525</xdr:rowOff>
    </xdr:to>
    <xdr:cxnSp macro="">
      <xdr:nvCxnSpPr>
        <xdr:cNvPr id="24" name="Straight Arrow Connector 23">
          <a:extLst>
            <a:ext xmlns:a16="http://schemas.microsoft.com/office/drawing/2014/main" uri="{FF2B5EF4-FFF2-40B4-BE49-F238E27FC236}">
              <a16:creationId xmlns:a16="http://schemas.microsoft.com/office/drawing/2014/main" id="{F6E3D091-9BC9-475C-8223-2D99D48B0D4D}"/>
            </a:ext>
          </a:extLst>
        </xdr:cNvPr>
        <xdr:cNvCxnSpPr/>
      </xdr:nvCxnSpPr>
      <xdr:spPr>
        <a:xfrm>
          <a:off x="6496050" y="1790700"/>
          <a:ext cx="0" cy="1714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196850</xdr:colOff>
      <xdr:row>3</xdr:row>
      <xdr:rowOff>133350</xdr:rowOff>
    </xdr:from>
    <xdr:to>
      <xdr:col>4</xdr:col>
      <xdr:colOff>762000</xdr:colOff>
      <xdr:row>3</xdr:row>
      <xdr:rowOff>133350</xdr:rowOff>
    </xdr:to>
    <xdr:cxnSp macro="">
      <xdr:nvCxnSpPr>
        <xdr:cNvPr id="26" name="Straight Connector 25">
          <a:extLst>
            <a:ext xmlns:a16="http://schemas.microsoft.com/office/drawing/2014/main" uri="{FF2B5EF4-FFF2-40B4-BE49-F238E27FC236}">
              <a16:creationId xmlns:a16="http://schemas.microsoft.com/office/drawing/2014/main" id="{015997AB-EE1F-431B-9142-F793EAE16250}"/>
            </a:ext>
          </a:extLst>
        </xdr:cNvPr>
        <xdr:cNvCxnSpPr/>
      </xdr:nvCxnSpPr>
      <xdr:spPr>
        <a:xfrm>
          <a:off x="1714500" y="800100"/>
          <a:ext cx="1587500" cy="0"/>
        </a:xfrm>
        <a:prstGeom prst="line">
          <a:avLst/>
        </a:prstGeom>
        <a:ln w="9525" cap="flat" cmpd="sng" algn="ctr">
          <a:solidFill>
            <a:schemeClr val="bg2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</xdr:colOff>
      <xdr:row>5</xdr:row>
      <xdr:rowOff>101600</xdr:rowOff>
    </xdr:from>
    <xdr:to>
      <xdr:col>3</xdr:col>
      <xdr:colOff>644525</xdr:colOff>
      <xdr:row>5</xdr:row>
      <xdr:rowOff>101600</xdr:rowOff>
    </xdr:to>
    <xdr:cxnSp macro="">
      <xdr:nvCxnSpPr>
        <xdr:cNvPr id="27" name="Straight Connector 26">
          <a:extLst>
            <a:ext xmlns:a16="http://schemas.microsoft.com/office/drawing/2014/main" uri="{FF2B5EF4-FFF2-40B4-BE49-F238E27FC236}">
              <a16:creationId xmlns:a16="http://schemas.microsoft.com/office/drawing/2014/main" id="{954B73B5-7C61-41D7-BB5E-2F49B99C2D9F}"/>
            </a:ext>
          </a:extLst>
        </xdr:cNvPr>
        <xdr:cNvCxnSpPr/>
      </xdr:nvCxnSpPr>
      <xdr:spPr>
        <a:xfrm>
          <a:off x="1641475" y="1073150"/>
          <a:ext cx="850900" cy="0"/>
        </a:xfrm>
        <a:prstGeom prst="line">
          <a:avLst/>
        </a:prstGeom>
        <a:ln w="9525" cap="flat" cmpd="sng" algn="ctr">
          <a:solidFill>
            <a:schemeClr val="bg2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63500</xdr:colOff>
      <xdr:row>17</xdr:row>
      <xdr:rowOff>127000</xdr:rowOff>
    </xdr:from>
    <xdr:to>
      <xdr:col>4</xdr:col>
      <xdr:colOff>1035050</xdr:colOff>
      <xdr:row>17</xdr:row>
      <xdr:rowOff>127000</xdr:rowOff>
    </xdr:to>
    <xdr:cxnSp macro="">
      <xdr:nvCxnSpPr>
        <xdr:cNvPr id="29" name="Straight Connector 28">
          <a:extLst>
            <a:ext xmlns:a16="http://schemas.microsoft.com/office/drawing/2014/main" uri="{FF2B5EF4-FFF2-40B4-BE49-F238E27FC236}">
              <a16:creationId xmlns:a16="http://schemas.microsoft.com/office/drawing/2014/main" id="{056EB16B-5479-4309-9604-0E7906B7EFE1}"/>
            </a:ext>
          </a:extLst>
        </xdr:cNvPr>
        <xdr:cNvCxnSpPr/>
      </xdr:nvCxnSpPr>
      <xdr:spPr>
        <a:xfrm>
          <a:off x="1911350" y="3511550"/>
          <a:ext cx="1663700" cy="0"/>
        </a:xfrm>
        <a:prstGeom prst="line">
          <a:avLst/>
        </a:prstGeom>
        <a:ln w="9525" cap="flat" cmpd="sng" algn="ctr">
          <a:solidFill>
            <a:schemeClr val="bg2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164789</xdr:colOff>
      <xdr:row>20</xdr:row>
      <xdr:rowOff>114300</xdr:rowOff>
    </xdr:from>
    <xdr:to>
      <xdr:col>5</xdr:col>
      <xdr:colOff>768660</xdr:colOff>
      <xdr:row>20</xdr:row>
      <xdr:rowOff>114300</xdr:rowOff>
    </xdr:to>
    <xdr:cxnSp macro="">
      <xdr:nvCxnSpPr>
        <xdr:cNvPr id="31" name="Straight Connector 30">
          <a:extLst>
            <a:ext xmlns:a16="http://schemas.microsoft.com/office/drawing/2014/main" uri="{FF2B5EF4-FFF2-40B4-BE49-F238E27FC236}">
              <a16:creationId xmlns:a16="http://schemas.microsoft.com/office/drawing/2014/main" id="{D8055F66-65B0-47EA-9823-F97FF4A4259D}"/>
            </a:ext>
          </a:extLst>
        </xdr:cNvPr>
        <xdr:cNvCxnSpPr/>
      </xdr:nvCxnSpPr>
      <xdr:spPr>
        <a:xfrm>
          <a:off x="1688789" y="4057650"/>
          <a:ext cx="3299446" cy="0"/>
        </a:xfrm>
        <a:prstGeom prst="line">
          <a:avLst/>
        </a:prstGeom>
        <a:ln w="9525" cap="flat" cmpd="sng" algn="ctr">
          <a:solidFill>
            <a:schemeClr val="bg2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10103</xdr:colOff>
      <xdr:row>8</xdr:row>
      <xdr:rowOff>9525</xdr:rowOff>
    </xdr:from>
    <xdr:to>
      <xdr:col>6</xdr:col>
      <xdr:colOff>10103</xdr:colOff>
      <xdr:row>8</xdr:row>
      <xdr:rowOff>66675</xdr:rowOff>
    </xdr:to>
    <xdr:cxnSp macro="">
      <xdr:nvCxnSpPr>
        <xdr:cNvPr id="47" name="Straight Connector 46">
          <a:extLst>
            <a:ext xmlns:a16="http://schemas.microsoft.com/office/drawing/2014/main" uri="{FF2B5EF4-FFF2-40B4-BE49-F238E27FC236}">
              <a16:creationId xmlns:a16="http://schemas.microsoft.com/office/drawing/2014/main" id="{6D559D2E-A61B-4D34-8DAB-F1F52FFACEBC}"/>
            </a:ext>
          </a:extLst>
        </xdr:cNvPr>
        <xdr:cNvCxnSpPr/>
      </xdr:nvCxnSpPr>
      <xdr:spPr>
        <a:xfrm>
          <a:off x="3705803" y="1790700"/>
          <a:ext cx="0" cy="57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333373</xdr:colOff>
      <xdr:row>6</xdr:row>
      <xdr:rowOff>92075</xdr:rowOff>
    </xdr:from>
    <xdr:to>
      <xdr:col>1</xdr:col>
      <xdr:colOff>542925</xdr:colOff>
      <xdr:row>9</xdr:row>
      <xdr:rowOff>47624</xdr:rowOff>
    </xdr:to>
    <xdr:grpSp>
      <xdr:nvGrpSpPr>
        <xdr:cNvPr id="4" name="Group 3">
          <a:extLst>
            <a:ext xmlns:a16="http://schemas.microsoft.com/office/drawing/2014/main" uri="{FF2B5EF4-FFF2-40B4-BE49-F238E27FC236}">
              <a16:creationId xmlns:a16="http://schemas.microsoft.com/office/drawing/2014/main" id="{2CDB510A-5535-4CC7-89F4-3879A0FDA47D}"/>
            </a:ext>
          </a:extLst>
        </xdr:cNvPr>
        <xdr:cNvGrpSpPr/>
      </xdr:nvGrpSpPr>
      <xdr:grpSpPr>
        <a:xfrm>
          <a:off x="698841" y="1325528"/>
          <a:ext cx="209552" cy="631664"/>
          <a:chOff x="1047750" y="1435100"/>
          <a:chExt cx="0" cy="1857375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1D51B40C-75CA-62D4-970C-A0E940FED5F5}"/>
              </a:ext>
            </a:extLst>
          </xdr:cNvPr>
          <xdr:cNvCxnSpPr/>
        </xdr:nvCxnSpPr>
        <xdr:spPr>
          <a:xfrm>
            <a:off x="1047750" y="1435100"/>
            <a:ext cx="0" cy="1765300"/>
          </a:xfrm>
          <a:prstGeom prst="straightConnector1">
            <a:avLst/>
          </a:prstGeom>
          <a:ln w="9525" cap="flat" cmpd="sng" algn="ctr">
            <a:solidFill>
              <a:schemeClr val="bg2">
                <a:lumMod val="50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CF63D762-7605-B10B-B0B8-9C003B8A3144}"/>
              </a:ext>
            </a:extLst>
          </xdr:cNvPr>
          <xdr:cNvCxnSpPr/>
        </xdr:nvCxnSpPr>
        <xdr:spPr>
          <a:xfrm>
            <a:off x="1047750" y="3263900"/>
            <a:ext cx="0" cy="28575"/>
          </a:xfrm>
          <a:prstGeom prst="straightConnector1">
            <a:avLst/>
          </a:prstGeom>
          <a:ln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447674</xdr:colOff>
      <xdr:row>6</xdr:row>
      <xdr:rowOff>92076</xdr:rowOff>
    </xdr:from>
    <xdr:to>
      <xdr:col>1</xdr:col>
      <xdr:colOff>590550</xdr:colOff>
      <xdr:row>9</xdr:row>
      <xdr:rowOff>47625</xdr:rowOff>
    </xdr:to>
    <xdr:grpSp>
      <xdr:nvGrpSpPr>
        <xdr:cNvPr id="7" name="Group 6">
          <a:extLst>
            <a:ext xmlns:a16="http://schemas.microsoft.com/office/drawing/2014/main" uri="{FF2B5EF4-FFF2-40B4-BE49-F238E27FC236}">
              <a16:creationId xmlns:a16="http://schemas.microsoft.com/office/drawing/2014/main" id="{2CA50FAB-077C-4F3F-8DD1-96CA4CA64364}"/>
            </a:ext>
          </a:extLst>
        </xdr:cNvPr>
        <xdr:cNvGrpSpPr/>
      </xdr:nvGrpSpPr>
      <xdr:grpSpPr>
        <a:xfrm>
          <a:off x="813142" y="1325529"/>
          <a:ext cx="142876" cy="631664"/>
          <a:chOff x="1047750" y="1435100"/>
          <a:chExt cx="0" cy="1857375"/>
        </a:xfrm>
      </xdr:grpSpPr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AA5D7307-8DFE-84C9-388A-892E1DA51EB7}"/>
              </a:ext>
            </a:extLst>
          </xdr:cNvPr>
          <xdr:cNvCxnSpPr/>
        </xdr:nvCxnSpPr>
        <xdr:spPr>
          <a:xfrm>
            <a:off x="1047750" y="1435100"/>
            <a:ext cx="0" cy="1765300"/>
          </a:xfrm>
          <a:prstGeom prst="straightConnector1">
            <a:avLst/>
          </a:prstGeom>
          <a:ln w="9525" cap="flat" cmpd="sng" algn="ctr">
            <a:solidFill>
              <a:schemeClr val="bg2">
                <a:lumMod val="50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338FEAD3-C9DD-A244-7260-9DF1D93425C3}"/>
              </a:ext>
            </a:extLst>
          </xdr:cNvPr>
          <xdr:cNvCxnSpPr/>
        </xdr:nvCxnSpPr>
        <xdr:spPr>
          <a:xfrm>
            <a:off x="1047750" y="3263900"/>
            <a:ext cx="0" cy="28575"/>
          </a:xfrm>
          <a:prstGeom prst="straightConnector1">
            <a:avLst/>
          </a:prstGeom>
          <a:ln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828675</xdr:colOff>
      <xdr:row>6</xdr:row>
      <xdr:rowOff>92075</xdr:rowOff>
    </xdr:from>
    <xdr:to>
      <xdr:col>1</xdr:col>
      <xdr:colOff>828675</xdr:colOff>
      <xdr:row>16</xdr:row>
      <xdr:rowOff>25400</xdr:rowOff>
    </xdr:to>
    <xdr:grpSp>
      <xdr:nvGrpSpPr>
        <xdr:cNvPr id="10" name="Group 9">
          <a:extLst>
            <a:ext xmlns:a16="http://schemas.microsoft.com/office/drawing/2014/main" uri="{FF2B5EF4-FFF2-40B4-BE49-F238E27FC236}">
              <a16:creationId xmlns:a16="http://schemas.microsoft.com/office/drawing/2014/main" id="{798D3153-EEC5-4000-8204-5A9AE97EA78F}"/>
            </a:ext>
          </a:extLst>
        </xdr:cNvPr>
        <xdr:cNvGrpSpPr/>
      </xdr:nvGrpSpPr>
      <xdr:grpSpPr>
        <a:xfrm>
          <a:off x="1194143" y="1325528"/>
          <a:ext cx="0" cy="2354548"/>
          <a:chOff x="1047750" y="1435100"/>
          <a:chExt cx="0" cy="1857375"/>
        </a:xfrm>
      </xdr:grpSpPr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50D8B01C-DDC5-8B47-5C48-84E6CC4CFF5F}"/>
              </a:ext>
            </a:extLst>
          </xdr:cNvPr>
          <xdr:cNvCxnSpPr/>
        </xdr:nvCxnSpPr>
        <xdr:spPr>
          <a:xfrm>
            <a:off x="1047750" y="1435100"/>
            <a:ext cx="0" cy="1765300"/>
          </a:xfrm>
          <a:prstGeom prst="straightConnector1">
            <a:avLst/>
          </a:prstGeom>
          <a:ln w="9525" cap="flat" cmpd="sng" algn="ctr">
            <a:solidFill>
              <a:schemeClr val="bg2">
                <a:lumMod val="50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37EA770D-638E-EF46-5D99-DB7D0C7F9CE1}"/>
              </a:ext>
            </a:extLst>
          </xdr:cNvPr>
          <xdr:cNvCxnSpPr/>
        </xdr:nvCxnSpPr>
        <xdr:spPr>
          <a:xfrm>
            <a:off x="1047750" y="3263900"/>
            <a:ext cx="0" cy="28575"/>
          </a:xfrm>
          <a:prstGeom prst="straightConnector1">
            <a:avLst/>
          </a:prstGeom>
          <a:ln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971550</xdr:colOff>
      <xdr:row>6</xdr:row>
      <xdr:rowOff>92075</xdr:rowOff>
    </xdr:from>
    <xdr:to>
      <xdr:col>1</xdr:col>
      <xdr:colOff>971550</xdr:colOff>
      <xdr:row>16</xdr:row>
      <xdr:rowOff>25400</xdr:rowOff>
    </xdr:to>
    <xdr:grpSp>
      <xdr:nvGrpSpPr>
        <xdr:cNvPr id="13" name="Group 12">
          <a:extLst>
            <a:ext xmlns:a16="http://schemas.microsoft.com/office/drawing/2014/main" uri="{FF2B5EF4-FFF2-40B4-BE49-F238E27FC236}">
              <a16:creationId xmlns:a16="http://schemas.microsoft.com/office/drawing/2014/main" id="{AE10EE42-2D69-4F78-BF13-3656CE4F7AFE}"/>
            </a:ext>
          </a:extLst>
        </xdr:cNvPr>
        <xdr:cNvGrpSpPr/>
      </xdr:nvGrpSpPr>
      <xdr:grpSpPr>
        <a:xfrm>
          <a:off x="1337018" y="1325528"/>
          <a:ext cx="0" cy="2354548"/>
          <a:chOff x="1047750" y="1435100"/>
          <a:chExt cx="0" cy="1857375"/>
        </a:xfrm>
      </xdr:grpSpPr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DB8C26C9-1A8C-F29D-8CEE-70FBDC60706A}"/>
              </a:ext>
            </a:extLst>
          </xdr:cNvPr>
          <xdr:cNvCxnSpPr/>
        </xdr:nvCxnSpPr>
        <xdr:spPr>
          <a:xfrm>
            <a:off x="1047750" y="1435100"/>
            <a:ext cx="0" cy="1765300"/>
          </a:xfrm>
          <a:prstGeom prst="straightConnector1">
            <a:avLst/>
          </a:prstGeom>
          <a:ln w="9525" cap="flat" cmpd="sng" algn="ctr">
            <a:solidFill>
              <a:schemeClr val="bg2">
                <a:lumMod val="50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92C8E2B0-4F8F-A320-F4B9-2C7BBA13B0BF}"/>
              </a:ext>
            </a:extLst>
          </xdr:cNvPr>
          <xdr:cNvCxnSpPr/>
        </xdr:nvCxnSpPr>
        <xdr:spPr>
          <a:xfrm>
            <a:off x="1047750" y="3263900"/>
            <a:ext cx="0" cy="28575"/>
          </a:xfrm>
          <a:prstGeom prst="straightConnector1">
            <a:avLst/>
          </a:prstGeom>
          <a:ln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92075</xdr:colOff>
      <xdr:row>6</xdr:row>
      <xdr:rowOff>92075</xdr:rowOff>
    </xdr:from>
    <xdr:to>
      <xdr:col>2</xdr:col>
      <xdr:colOff>92075</xdr:colOff>
      <xdr:row>16</xdr:row>
      <xdr:rowOff>25400</xdr:rowOff>
    </xdr:to>
    <xdr:grpSp>
      <xdr:nvGrpSpPr>
        <xdr:cNvPr id="18" name="Group 17">
          <a:extLst>
            <a:ext xmlns:a16="http://schemas.microsoft.com/office/drawing/2014/main" uri="{FF2B5EF4-FFF2-40B4-BE49-F238E27FC236}">
              <a16:creationId xmlns:a16="http://schemas.microsoft.com/office/drawing/2014/main" id="{1BE6E78D-F97C-45E0-A235-D211180652F9}"/>
            </a:ext>
          </a:extLst>
        </xdr:cNvPr>
        <xdr:cNvGrpSpPr/>
      </xdr:nvGrpSpPr>
      <xdr:grpSpPr>
        <a:xfrm>
          <a:off x="1535672" y="1325528"/>
          <a:ext cx="0" cy="2354548"/>
          <a:chOff x="1047750" y="1435100"/>
          <a:chExt cx="0" cy="1857375"/>
        </a:xfrm>
      </xdr:grpSpPr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C94E310F-93F7-62C0-DFEE-16B03B6F48C6}"/>
              </a:ext>
            </a:extLst>
          </xdr:cNvPr>
          <xdr:cNvCxnSpPr/>
        </xdr:nvCxnSpPr>
        <xdr:spPr>
          <a:xfrm>
            <a:off x="1047750" y="1435100"/>
            <a:ext cx="0" cy="1765300"/>
          </a:xfrm>
          <a:prstGeom prst="straightConnector1">
            <a:avLst/>
          </a:prstGeom>
          <a:ln w="9525" cap="flat" cmpd="sng" algn="ctr">
            <a:solidFill>
              <a:schemeClr val="bg2">
                <a:lumMod val="50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D5251536-3CF5-5FF6-214B-A1032B442CA8}"/>
              </a:ext>
            </a:extLst>
          </xdr:cNvPr>
          <xdr:cNvCxnSpPr/>
        </xdr:nvCxnSpPr>
        <xdr:spPr>
          <a:xfrm>
            <a:off x="1047750" y="3263900"/>
            <a:ext cx="0" cy="28575"/>
          </a:xfrm>
          <a:prstGeom prst="straightConnector1">
            <a:avLst/>
          </a:prstGeom>
          <a:ln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247650</xdr:colOff>
      <xdr:row>6</xdr:row>
      <xdr:rowOff>95250</xdr:rowOff>
    </xdr:from>
    <xdr:to>
      <xdr:col>3</xdr:col>
      <xdr:colOff>104775</xdr:colOff>
      <xdr:row>16</xdr:row>
      <xdr:rowOff>28575</xdr:rowOff>
    </xdr:to>
    <xdr:grpSp>
      <xdr:nvGrpSpPr>
        <xdr:cNvPr id="25" name="Group 24">
          <a:extLst>
            <a:ext xmlns:a16="http://schemas.microsoft.com/office/drawing/2014/main" uri="{FF2B5EF4-FFF2-40B4-BE49-F238E27FC236}">
              <a16:creationId xmlns:a16="http://schemas.microsoft.com/office/drawing/2014/main" id="{14D88921-EAFB-47C1-8937-6B503D101F6F}"/>
            </a:ext>
          </a:extLst>
        </xdr:cNvPr>
        <xdr:cNvGrpSpPr/>
      </xdr:nvGrpSpPr>
      <xdr:grpSpPr>
        <a:xfrm>
          <a:off x="1691247" y="1328703"/>
          <a:ext cx="213456" cy="2354548"/>
          <a:chOff x="1047750" y="1435100"/>
          <a:chExt cx="0" cy="1857375"/>
        </a:xfrm>
      </xdr:grpSpPr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126470A3-F0AD-7908-36B9-457ED1DEC043}"/>
              </a:ext>
            </a:extLst>
          </xdr:cNvPr>
          <xdr:cNvCxnSpPr/>
        </xdr:nvCxnSpPr>
        <xdr:spPr>
          <a:xfrm>
            <a:off x="1047750" y="1435100"/>
            <a:ext cx="0" cy="1765300"/>
          </a:xfrm>
          <a:prstGeom prst="straightConnector1">
            <a:avLst/>
          </a:prstGeom>
          <a:ln w="9525" cap="flat" cmpd="sng" algn="ctr">
            <a:solidFill>
              <a:schemeClr val="bg2">
                <a:lumMod val="50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82D59033-5F36-CDC9-896B-CD233675BCB2}"/>
              </a:ext>
            </a:extLst>
          </xdr:cNvPr>
          <xdr:cNvCxnSpPr/>
        </xdr:nvCxnSpPr>
        <xdr:spPr>
          <a:xfrm>
            <a:off x="1047750" y="3263900"/>
            <a:ext cx="0" cy="28575"/>
          </a:xfrm>
          <a:prstGeom prst="straightConnector1">
            <a:avLst/>
          </a:prstGeom>
          <a:ln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657224</xdr:colOff>
      <xdr:row>9</xdr:row>
      <xdr:rowOff>285750</xdr:rowOff>
    </xdr:from>
    <xdr:to>
      <xdr:col>3</xdr:col>
      <xdr:colOff>152400</xdr:colOff>
      <xdr:row>10</xdr:row>
      <xdr:rowOff>47625</xdr:rowOff>
    </xdr:to>
    <xdr:sp macro="" textlink="">
      <xdr:nvSpPr>
        <xdr:cNvPr id="32" name="Rectangle 31">
          <a:extLst>
            <a:ext xmlns:a16="http://schemas.microsoft.com/office/drawing/2014/main" uri="{FF2B5EF4-FFF2-40B4-BE49-F238E27FC236}">
              <a16:creationId xmlns:a16="http://schemas.microsoft.com/office/drawing/2014/main" id="{6F5F5246-01D0-0BD1-8227-DCD26A15A4C3}"/>
            </a:ext>
          </a:extLst>
        </xdr:cNvPr>
        <xdr:cNvSpPr/>
      </xdr:nvSpPr>
      <xdr:spPr>
        <a:xfrm>
          <a:off x="1184274" y="2165350"/>
          <a:ext cx="815976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false" anchor="ctr"/>
        <a:lstStyle/>
        <a:p>
          <a:pPr algn="ctr"/>
          <a:r>
            <a:rPr lang="en-US" sz="1050"/>
            <a:t>102 days</a:t>
          </a:r>
        </a:p>
        <a:p>
          <a:pPr algn="ctr"/>
          <a:endParaRPr lang="en-US" sz="1000"/>
        </a:p>
      </xdr:txBody>
    </xdr:sp>
    <xdr:clientData/>
  </xdr:twoCellAnchor>
  <xdr:twoCellAnchor>
    <xdr:from>
      <xdr:col>1</xdr:col>
      <xdr:colOff>95250</xdr:colOff>
      <xdr:row>7</xdr:row>
      <xdr:rowOff>9525</xdr:rowOff>
    </xdr:from>
    <xdr:to>
      <xdr:col>1</xdr:col>
      <xdr:colOff>742950</xdr:colOff>
      <xdr:row>7</xdr:row>
      <xdr:rowOff>206375</xdr:rowOff>
    </xdr:to>
    <xdr:sp macro="" textlink="">
      <xdr:nvSpPr>
        <xdr:cNvPr id="33" name="Rectangle 32">
          <a:extLst>
            <a:ext xmlns:a16="http://schemas.microsoft.com/office/drawing/2014/main" uri="{FF2B5EF4-FFF2-40B4-BE49-F238E27FC236}">
              <a16:creationId xmlns:a16="http://schemas.microsoft.com/office/drawing/2014/main" id="{B03CB30E-8AA8-4DA3-893F-CB47DE00D4C1}"/>
            </a:ext>
          </a:extLst>
        </xdr:cNvPr>
        <xdr:cNvSpPr/>
      </xdr:nvSpPr>
      <xdr:spPr>
        <a:xfrm>
          <a:off x="628650" y="1466850"/>
          <a:ext cx="647700" cy="196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false" anchor="ctr"/>
        <a:lstStyle/>
        <a:p>
          <a:pPr algn="ctr"/>
          <a:r>
            <a:rPr lang="en-US" sz="1050"/>
            <a:t>19 days</a:t>
          </a:r>
        </a:p>
        <a:p>
          <a:pPr algn="ctr"/>
          <a:endParaRPr lang="en-US" sz="1000"/>
        </a:p>
      </xdr:txBody>
    </xdr:sp>
    <xdr:clientData/>
  </xdr:twoCellAnchor>
  <xdr:twoCellAnchor>
    <xdr:from>
      <xdr:col>1</xdr:col>
      <xdr:colOff>118824</xdr:colOff>
      <xdr:row>10</xdr:row>
      <xdr:rowOff>54479</xdr:rowOff>
    </xdr:from>
    <xdr:to>
      <xdr:col>1</xdr:col>
      <xdr:colOff>299799</xdr:colOff>
      <xdr:row>15</xdr:row>
      <xdr:rowOff>149729</xdr:rowOff>
    </xdr:to>
    <xdr:sp macro="" textlink="">
      <xdr:nvSpPr>
        <xdr:cNvPr id="34" name="Rectangle 33">
          <a:extLst>
            <a:ext xmlns:a16="http://schemas.microsoft.com/office/drawing/2014/main" uri="{FF2B5EF4-FFF2-40B4-BE49-F238E27FC236}">
              <a16:creationId xmlns:a16="http://schemas.microsoft.com/office/drawing/2014/main" id="{40F70D1C-DACB-45F5-95CF-298299BA3531}"/>
            </a:ext>
          </a:extLst>
        </xdr:cNvPr>
        <xdr:cNvSpPr/>
      </xdr:nvSpPr>
      <xdr:spPr>
        <a:xfrm rot="16200000">
          <a:off x="-33610" y="2879395"/>
          <a:ext cx="1157390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false" anchor="ctr"/>
        <a:lstStyle/>
        <a:p>
          <a:pPr algn="ctr"/>
          <a:r>
            <a:rPr lang="en-US" sz="1050"/>
            <a:t>376 days</a:t>
          </a:r>
        </a:p>
        <a:p>
          <a:pPr algn="ctr"/>
          <a:endParaRPr lang="en-US" sz="1000"/>
        </a:p>
      </xdr:txBody>
    </xdr:sp>
    <xdr:clientData/>
  </xdr:twoCellAnchor>
  <xdr:twoCellAnchor>
    <xdr:from>
      <xdr:col>1</xdr:col>
      <xdr:colOff>596900</xdr:colOff>
      <xdr:row>18</xdr:row>
      <xdr:rowOff>22224</xdr:rowOff>
    </xdr:from>
    <xdr:to>
      <xdr:col>1</xdr:col>
      <xdr:colOff>787400</xdr:colOff>
      <xdr:row>20</xdr:row>
      <xdr:rowOff>38097</xdr:rowOff>
    </xdr:to>
    <xdr:grpSp>
      <xdr:nvGrpSpPr>
        <xdr:cNvPr id="35" name="Group 34">
          <a:extLst>
            <a:ext xmlns:a16="http://schemas.microsoft.com/office/drawing/2014/main" uri="{FF2B5EF4-FFF2-40B4-BE49-F238E27FC236}">
              <a16:creationId xmlns:a16="http://schemas.microsoft.com/office/drawing/2014/main" id="{632855CA-56FF-4322-9080-E1A7BBE99A5C}"/>
            </a:ext>
          </a:extLst>
        </xdr:cNvPr>
        <xdr:cNvGrpSpPr/>
      </xdr:nvGrpSpPr>
      <xdr:grpSpPr>
        <a:xfrm>
          <a:off x="962368" y="4152008"/>
          <a:ext cx="190500" cy="436161"/>
          <a:chOff x="1047750" y="1435100"/>
          <a:chExt cx="0" cy="1857375"/>
        </a:xfrm>
      </xdr:grpSpPr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9E3961C5-102F-7CC4-DD32-2E80776FAD91}"/>
              </a:ext>
            </a:extLst>
          </xdr:cNvPr>
          <xdr:cNvCxnSpPr/>
        </xdr:nvCxnSpPr>
        <xdr:spPr>
          <a:xfrm>
            <a:off x="1047750" y="1435100"/>
            <a:ext cx="0" cy="1765300"/>
          </a:xfrm>
          <a:prstGeom prst="straightConnector1">
            <a:avLst/>
          </a:prstGeom>
          <a:ln w="9525" cap="flat" cmpd="sng" algn="ctr">
            <a:solidFill>
              <a:schemeClr val="bg2">
                <a:lumMod val="50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B5739AAC-D9C4-7C99-3015-400C852B05C0}"/>
              </a:ext>
            </a:extLst>
          </xdr:cNvPr>
          <xdr:cNvCxnSpPr/>
        </xdr:nvCxnSpPr>
        <xdr:spPr>
          <a:xfrm>
            <a:off x="1047750" y="3263900"/>
            <a:ext cx="0" cy="28575"/>
          </a:xfrm>
          <a:prstGeom prst="straightConnector1">
            <a:avLst/>
          </a:prstGeom>
          <a:ln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276225</xdr:colOff>
      <xdr:row>18</xdr:row>
      <xdr:rowOff>63500</xdr:rowOff>
    </xdr:from>
    <xdr:to>
      <xdr:col>1</xdr:col>
      <xdr:colOff>981075</xdr:colOff>
      <xdr:row>18</xdr:row>
      <xdr:rowOff>254000</xdr:rowOff>
    </xdr:to>
    <xdr:sp macro="" textlink="">
      <xdr:nvSpPr>
        <xdr:cNvPr id="38" name="Rectangle 37">
          <a:extLst>
            <a:ext xmlns:a16="http://schemas.microsoft.com/office/drawing/2014/main" uri="{FF2B5EF4-FFF2-40B4-BE49-F238E27FC236}">
              <a16:creationId xmlns:a16="http://schemas.microsoft.com/office/drawing/2014/main" id="{F6296A6B-1644-4FE2-BA5D-E41E2610A63A}"/>
            </a:ext>
          </a:extLst>
        </xdr:cNvPr>
        <xdr:cNvSpPr/>
      </xdr:nvSpPr>
      <xdr:spPr>
        <a:xfrm>
          <a:off x="809625" y="3921125"/>
          <a:ext cx="7048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false" anchor="ctr"/>
        <a:lstStyle/>
        <a:p>
          <a:pPr algn="ctr"/>
          <a:r>
            <a:rPr lang="en-US" sz="1050"/>
            <a:t>235 days</a:t>
          </a:r>
        </a:p>
        <a:p>
          <a:pPr algn="ctr"/>
          <a:endParaRPr lang="en-US" sz="1000"/>
        </a:p>
      </xdr:txBody>
    </xdr:sp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CAD2-19B6-4E14-AFEE-A572D35A857A}">
  <dimension ref="A2:K26"/>
  <sheetViews>
    <sheetView topLeftCell="A9" workbookViewId="0">
      <selection activeCell="B18" sqref="B18"/>
    </sheetView>
  </sheetViews>
  <sheetFormatPr xmlns:x14ac="http://schemas.microsoft.com/office/spreadsheetml/2009/9/ac" baseColWidth="10" defaultColWidth="8.83203125" defaultRowHeight="15" x14ac:dyDescent="0.2"/>
  <cols>
    <col min="1" max="1" width="16.6640625" bestFit="true" customWidth="true"/>
    <col min="2" max="2" width="11.33203125" bestFit="true" customWidth="true"/>
    <col min="3" max="3" width="11.1640625" customWidth="true"/>
    <col min="5" max="6" width="10.5" bestFit="true" customWidth="true"/>
    <col min="7" max="7" width="10.1640625" style="1" customWidth="true"/>
    <col min="8" max="8" width="7.5" style="1" bestFit="true" customWidth="true"/>
    <col min="9" max="11" width="8.6640625" style="1"/>
  </cols>
  <sheetData>
    <row xmlns:x14ac="http://schemas.microsoft.com/office/spreadsheetml/2009/9/ac" r="2" ht="27" customHeight="true" x14ac:dyDescent="0.2">
      <c r="H2"/>
      <c r="I2"/>
      <c r="J2"/>
      <c r="K2"/>
    </row>
    <row xmlns:x14ac="http://schemas.microsoft.com/office/spreadsheetml/2009/9/ac" r="3" x14ac:dyDescent="0.2">
      <c r="G3" s="3"/>
      <c r="H3" s="3"/>
      <c r="I3" s="3"/>
      <c r="J3" s="3"/>
      <c r="K3" s="3"/>
    </row>
    <row xmlns:x14ac="http://schemas.microsoft.com/office/spreadsheetml/2009/9/ac" r="4" x14ac:dyDescent="0.2">
      <c r="F4" s="3"/>
    </row>
    <row xmlns:x14ac="http://schemas.microsoft.com/office/spreadsheetml/2009/9/ac" r="5" ht="26.5" customHeight="true" x14ac:dyDescent="0.2">
      <c r="F5" s="3"/>
    </row>
    <row xmlns:x14ac="http://schemas.microsoft.com/office/spreadsheetml/2009/9/ac" r="6" x14ac:dyDescent="0.2">
      <c r="F6" s="3"/>
    </row>
    <row xmlns:x14ac="http://schemas.microsoft.com/office/spreadsheetml/2009/9/ac" r="14" x14ac:dyDescent="0.2">
      <c r="B14" t="s">
        <v>0</v>
      </c>
      <c r="C14" t="s">
        <v>2</v>
      </c>
      <c r="D14" t="s">
        <v>3</v>
      </c>
    </row>
    <row xmlns:x14ac="http://schemas.microsoft.com/office/spreadsheetml/2009/9/ac" r="15" x14ac:dyDescent="0.2">
      <c r="A15" t="s">
        <v>15</v>
      </c>
      <c r="B15">
        <v>85</v>
      </c>
      <c r="C15">
        <v>81</v>
      </c>
      <c r="D15">
        <v>94</v>
      </c>
    </row>
    <row xmlns:x14ac="http://schemas.microsoft.com/office/spreadsheetml/2009/9/ac" r="16" x14ac:dyDescent="0.2">
      <c r="A16" t="s">
        <v>16</v>
      </c>
      <c r="B16">
        <v>1770</v>
      </c>
      <c r="C16">
        <v>1954</v>
      </c>
      <c r="D16">
        <v>2580</v>
      </c>
    </row>
    <row xmlns:x14ac="http://schemas.microsoft.com/office/spreadsheetml/2009/9/ac" r="17" x14ac:dyDescent="0.2">
      <c r="A17" t="s">
        <v>19</v>
      </c>
      <c r="B17">
        <v>1386</v>
      </c>
      <c r="C17">
        <v>1469</v>
      </c>
      <c r="D17">
        <v>1982</v>
      </c>
    </row>
    <row xmlns:x14ac="http://schemas.microsoft.com/office/spreadsheetml/2009/9/ac" r="18" x14ac:dyDescent="0.2">
      <c r="A18" t="s">
        <v>18</v>
      </c>
      <c r="B18">
        <v>0.9668874172185431</v>
      </c>
      <c r="C18">
        <v>0.95590682196339438</v>
      </c>
      <c r="D18">
        <v>0.96198453608247425</v>
      </c>
    </row>
    <row xmlns:x14ac="http://schemas.microsoft.com/office/spreadsheetml/2009/9/ac" r="19" x14ac:dyDescent="0.2">
      <c r="A19" t="s">
        <v>24</v>
      </c>
      <c r="B19">
        <v>1228</v>
      </c>
      <c r="C19">
        <v>1424</v>
      </c>
      <c r="D19">
        <v>1791</v>
      </c>
    </row>
    <row xmlns:x14ac="http://schemas.microsoft.com/office/spreadsheetml/2009/9/ac" r="20" x14ac:dyDescent="0.2">
      <c r="A20" t="s">
        <v>25</v>
      </c>
      <c r="B20">
        <v>993</v>
      </c>
      <c r="C20">
        <v>1130</v>
      </c>
      <c r="D20">
        <v>1442</v>
      </c>
    </row>
    <row xmlns:x14ac="http://schemas.microsoft.com/office/spreadsheetml/2009/9/ac" r="22" x14ac:dyDescent="0.2">
      <c r="B22" t="s">
        <v>4</v>
      </c>
      <c r="C22" t="s">
        <v>5</v>
      </c>
      <c r="D22" t="s">
        <v>6</v>
      </c>
      <c r="E22" t="s">
        <v>7</v>
      </c>
      <c r="F22" t="s">
        <v>10</v>
      </c>
      <c r="G22" s="1" t="s">
        <v>11</v>
      </c>
    </row>
    <row xmlns:x14ac="http://schemas.microsoft.com/office/spreadsheetml/2009/9/ac" r="23" x14ac:dyDescent="0.2">
      <c r="B23">
        <v>19246</v>
      </c>
      <c r="C23">
        <v>19348</v>
      </c>
      <c r="D23">
        <v>19207</v>
      </c>
      <c r="E23">
        <v>19583</v>
      </c>
      <c r="F23">
        <v>20455</v>
      </c>
      <c r="G23" s="1">
        <v>22064</v>
      </c>
    </row>
    <row xmlns:x14ac="http://schemas.microsoft.com/office/spreadsheetml/2009/9/ac" r="24" x14ac:dyDescent="0.2">
      <c r="B24" s="2">
        <f>B23+21916</f>
        <v>41162</v>
      </c>
      <c r="C24" s="2">
        <f t="shared" ref="C24:G24" si="0">C23+21916</f>
        <v>41264</v>
      </c>
      <c r="D24" s="2">
        <f t="shared" si="0"/>
        <v>41123</v>
      </c>
      <c r="E24" s="2">
        <f t="shared" si="0"/>
        <v>41499</v>
      </c>
      <c r="F24" s="2">
        <f t="shared" si="0"/>
        <v>42371</v>
      </c>
      <c r="G24" s="2">
        <f t="shared" si="0"/>
        <v>43980</v>
      </c>
    </row>
    <row xmlns:x14ac="http://schemas.microsoft.com/office/spreadsheetml/2009/9/ac" r="26" x14ac:dyDescent="0.2">
      <c r="C26">
        <f>C23-B23</f>
        <v>102</v>
      </c>
      <c r="D26">
        <f>E23-D23</f>
        <v>376</v>
      </c>
      <c r="E26">
        <f>E23-C23</f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D491-A531-4985-B538-0A86893835BA}">
  <dimension ref="B2:I22"/>
  <sheetViews>
    <sheetView showGridLines="false" tabSelected="true" zoomScale="139" zoomScaleNormal="139" workbookViewId="0">
      <selection activeCell="B6" sqref="B6"/>
    </sheetView>
  </sheetViews>
  <sheetFormatPr xmlns:x14ac="http://schemas.microsoft.com/office/spreadsheetml/2009/9/ac" baseColWidth="10" defaultColWidth="8.83203125" defaultRowHeight="15" x14ac:dyDescent="0.2"/>
  <cols>
    <col min="1" max="1" width="4.83203125" customWidth="true"/>
    <col min="2" max="2" width="14.1640625" bestFit="true" customWidth="true"/>
    <col min="3" max="3" width="4.6640625" customWidth="true"/>
    <col min="4" max="4" width="9.83203125" customWidth="true"/>
    <col min="5" max="5" width="22.5" customWidth="true"/>
    <col min="6" max="6" width="18.6640625" customWidth="true"/>
    <col min="7" max="7" width="15.1640625" customWidth="true"/>
    <col min="8" max="8" width="1.6640625" customWidth="true"/>
    <col min="9" max="9" width="12.83203125" customWidth="true"/>
    <col min="11" max="11" width="8.6640625" customWidth="true"/>
  </cols>
  <sheetData>
    <row xmlns:x14ac="http://schemas.microsoft.com/office/spreadsheetml/2009/9/ac" r="2" ht="20" thickBot="true" x14ac:dyDescent="0.3">
      <c r="B2" s="4" t="s">
        <v>1</v>
      </c>
      <c r="C2" s="12"/>
      <c r="D2" s="5"/>
      <c r="E2" s="6"/>
      <c r="F2" s="6"/>
      <c r="G2" s="6"/>
      <c r="H2" s="6"/>
      <c r="I2" s="6"/>
    </row>
    <row xmlns:x14ac="http://schemas.microsoft.com/office/spreadsheetml/2009/9/ac" r="3" ht="20" thickTop="true" x14ac:dyDescent="0.25">
      <c r="B3" s="6"/>
      <c r="C3" s="6"/>
      <c r="D3" s="6"/>
      <c r="E3" s="6"/>
      <c r="F3" s="6"/>
      <c r="G3" s="6"/>
      <c r="H3" s="6"/>
      <c r="I3" s="6"/>
    </row>
    <row xmlns:x14ac="http://schemas.microsoft.com/office/spreadsheetml/2009/9/ac" r="4" ht="19" x14ac:dyDescent="0.25">
      <c r="B4" s="17">
        <f>exp_arms!D24</f>
        <v>41123</v>
      </c>
      <c r="C4" s="7"/>
      <c r="D4" s="7"/>
      <c r="E4" s="21" t="s">
        <v>8</v>
      </c>
      <c r="F4" s="21"/>
      <c r="G4" s="21"/>
      <c r="H4" s="21"/>
      <c r="I4" s="21"/>
    </row>
    <row xmlns:x14ac="http://schemas.microsoft.com/office/spreadsheetml/2009/9/ac" r="5" ht="5.5" customHeight="true" x14ac:dyDescent="0.25">
      <c r="B5" s="13"/>
      <c r="C5" s="7"/>
      <c r="D5" s="7"/>
      <c r="E5" s="6"/>
      <c r="F5" s="8"/>
      <c r="G5" s="8"/>
      <c r="H5" s="8"/>
      <c r="I5" s="8"/>
    </row>
    <row xmlns:x14ac="http://schemas.microsoft.com/office/spreadsheetml/2009/9/ac" r="6" ht="18.75" customHeight="true" x14ac:dyDescent="0.25">
      <c r="B6" s="17">
        <f>exp_arms!B24</f>
        <v>41162</v>
      </c>
      <c r="C6" s="7"/>
      <c r="D6" s="7"/>
      <c r="E6" s="18" t="s">
        <v>14</v>
      </c>
      <c r="F6" s="22" t="s">
        <v>13</v>
      </c>
      <c r="G6" s="22"/>
      <c r="H6" s="22"/>
      <c r="I6" s="22"/>
    </row>
    <row xmlns:x14ac="http://schemas.microsoft.com/office/spreadsheetml/2009/9/ac" r="7" ht="20.5" customHeight="true" x14ac:dyDescent="0.25">
      <c r="B7" s="14"/>
      <c r="C7" s="6"/>
      <c r="D7" s="6"/>
      <c r="E7" s="6"/>
      <c r="F7" s="6"/>
      <c r="G7" s="6"/>
      <c r="H7" s="6"/>
      <c r="I7" s="6"/>
    </row>
    <row xmlns:x14ac="http://schemas.microsoft.com/office/spreadsheetml/2009/9/ac" r="8" ht="20" thickBot="true" x14ac:dyDescent="0.3">
      <c r="B8" s="14"/>
      <c r="C8" s="6"/>
      <c r="E8" s="6"/>
      <c r="F8" s="20" t="s">
        <v>21</v>
      </c>
      <c r="G8" s="20"/>
      <c r="H8" s="5"/>
      <c r="I8" s="9" t="s">
        <v>0</v>
      </c>
    </row>
    <row xmlns:x14ac="http://schemas.microsoft.com/office/spreadsheetml/2009/9/ac" r="9" ht="13.5" customHeight="true" thickTop="true" x14ac:dyDescent="0.25">
      <c r="B9" s="14"/>
      <c r="C9" s="6"/>
      <c r="D9" s="6"/>
      <c r="E9" s="6"/>
      <c r="F9" s="5"/>
      <c r="G9" s="5"/>
      <c r="H9" s="5"/>
      <c r="I9" s="5"/>
    </row>
    <row xmlns:x14ac="http://schemas.microsoft.com/office/spreadsheetml/2009/9/ac" r="10" ht="36" customHeight="true" x14ac:dyDescent="0.25">
      <c r="B10" s="14"/>
      <c r="C10" s="6"/>
      <c r="D10" s="6"/>
      <c r="E10" s="6"/>
      <c r="F10" s="15" t="s">
        <v>23</v>
      </c>
      <c r="G10" s="15" t="s">
        <v>22</v>
      </c>
      <c r="H10" s="16"/>
      <c r="I10" s="15" t="s">
        <v>9</v>
      </c>
    </row>
    <row xmlns:x14ac="http://schemas.microsoft.com/office/spreadsheetml/2009/9/ac" r="11" ht="8.5" customHeight="true" x14ac:dyDescent="0.25">
      <c r="B11" s="14"/>
      <c r="C11" s="6"/>
      <c r="D11" s="6"/>
      <c r="E11" s="10"/>
      <c r="F11" s="10"/>
      <c r="G11" s="10"/>
      <c r="H11" s="10"/>
      <c r="I11" s="10"/>
    </row>
    <row xmlns:x14ac="http://schemas.microsoft.com/office/spreadsheetml/2009/9/ac" r="12" ht="19" x14ac:dyDescent="0.25">
      <c r="B12" s="14"/>
      <c r="C12" s="6"/>
      <c r="D12" s="6"/>
      <c r="E12" s="6" t="s">
        <v>17</v>
      </c>
      <c r="F12" s="5">
        <f>exp_arms!C15</f>
        <v>81</v>
      </c>
      <c r="G12" s="5">
        <f>exp_arms!D15</f>
        <v>94</v>
      </c>
      <c r="H12" s="5"/>
      <c r="I12" s="5">
        <f>exp_arms!B15</f>
        <v>85</v>
      </c>
    </row>
    <row xmlns:x14ac="http://schemas.microsoft.com/office/spreadsheetml/2009/9/ac" r="13" ht="19" x14ac:dyDescent="0.25">
      <c r="B13" s="14"/>
      <c r="C13" s="6"/>
      <c r="D13" s="6"/>
      <c r="E13" s="6" t="s">
        <v>16</v>
      </c>
      <c r="F13" s="5">
        <f>exp_arms!C16</f>
        <v>1954</v>
      </c>
      <c r="G13" s="5">
        <f>exp_arms!D16</f>
        <v>2580</v>
      </c>
      <c r="H13" s="5"/>
      <c r="I13" s="5">
        <f>exp_arms!B16</f>
        <v>1770</v>
      </c>
    </row>
    <row xmlns:x14ac="http://schemas.microsoft.com/office/spreadsheetml/2009/9/ac" r="14" ht="19" x14ac:dyDescent="0.25">
      <c r="B14" s="14"/>
      <c r="C14" s="6"/>
      <c r="D14" s="6"/>
      <c r="E14" s="6" t="s">
        <v>26</v>
      </c>
      <c r="F14" s="5">
        <f>exp_arms!C17</f>
        <v>1469</v>
      </c>
      <c r="G14" s="5">
        <f>exp_arms!D17</f>
        <v>1982</v>
      </c>
      <c r="I14" s="5">
        <f>exp_arms!B17</f>
        <v>1386</v>
      </c>
    </row>
    <row xmlns:x14ac="http://schemas.microsoft.com/office/spreadsheetml/2009/9/ac" r="15" ht="19" x14ac:dyDescent="0.25">
      <c r="B15" s="14"/>
      <c r="C15" s="6"/>
      <c r="D15" s="6"/>
      <c r="E15" s="6" t="s">
        <v>24</v>
      </c>
      <c r="F15" s="5">
        <f>exp_arms!C19</f>
        <v>1424</v>
      </c>
      <c r="G15" s="5">
        <f>exp_arms!D19</f>
        <v>1791</v>
      </c>
      <c r="H15" s="5"/>
      <c r="I15" s="5">
        <f>exp_arms!B19</f>
        <v>1228</v>
      </c>
    </row>
    <row xmlns:x14ac="http://schemas.microsoft.com/office/spreadsheetml/2009/9/ac" r="16" ht="19" x14ac:dyDescent="0.25">
      <c r="B16" s="14"/>
      <c r="C16" s="6"/>
      <c r="D16" s="6"/>
      <c r="E16" s="11" t="s">
        <v>27</v>
      </c>
      <c r="F16" s="19">
        <f>exp_arms!C20</f>
        <v>1130</v>
      </c>
      <c r="G16" s="19">
        <f>exp_arms!D20</f>
        <v>1442</v>
      </c>
      <c r="H16" s="19"/>
      <c r="I16" s="19">
        <f>exp_arms!B20</f>
        <v>993</v>
      </c>
    </row>
    <row xmlns:x14ac="http://schemas.microsoft.com/office/spreadsheetml/2009/9/ac" r="17" ht="19" x14ac:dyDescent="0.25">
      <c r="B17" s="14"/>
      <c r="C17" s="6"/>
      <c r="D17" s="6"/>
      <c r="E17" s="6"/>
      <c r="F17" s="6"/>
      <c r="G17" s="6"/>
      <c r="H17" s="6"/>
      <c r="I17" s="6"/>
    </row>
    <row xmlns:x14ac="http://schemas.microsoft.com/office/spreadsheetml/2009/9/ac" r="18" ht="19" x14ac:dyDescent="0.25">
      <c r="B18" s="17">
        <f>exp_arms!C24</f>
        <v>41264</v>
      </c>
      <c r="C18" s="7"/>
      <c r="D18" s="7"/>
      <c r="E18" s="21" t="s">
        <v>12</v>
      </c>
      <c r="F18" s="21"/>
      <c r="G18" s="21"/>
      <c r="H18" s="21"/>
      <c r="I18" s="21"/>
    </row>
    <row xmlns:x14ac="http://schemas.microsoft.com/office/spreadsheetml/2009/9/ac" r="19" ht="24.75" customHeight="true" x14ac:dyDescent="0.25">
      <c r="B19" s="17"/>
      <c r="C19" s="7"/>
      <c r="D19" s="7"/>
      <c r="E19" s="8"/>
      <c r="F19" s="8"/>
      <c r="G19" s="8"/>
      <c r="H19" s="8"/>
      <c r="I19" s="8"/>
    </row>
    <row xmlns:x14ac="http://schemas.microsoft.com/office/spreadsheetml/2009/9/ac" r="20" ht="9.75" customHeight="true" x14ac:dyDescent="0.25">
      <c r="B20" s="13"/>
      <c r="C20" s="7"/>
      <c r="D20" s="7"/>
      <c r="E20" s="6"/>
      <c r="F20" s="8"/>
      <c r="G20" s="8"/>
      <c r="H20" s="8"/>
      <c r="I20" s="8"/>
    </row>
    <row xmlns:x14ac="http://schemas.microsoft.com/office/spreadsheetml/2009/9/ac" r="21" ht="19" x14ac:dyDescent="0.25">
      <c r="B21" s="17">
        <f>exp_arms!E24</f>
        <v>41499</v>
      </c>
      <c r="C21" s="7"/>
      <c r="D21" s="7"/>
      <c r="E21" s="21" t="s">
        <v>20</v>
      </c>
      <c r="F21" s="21"/>
      <c r="G21" s="21"/>
      <c r="H21" s="21"/>
      <c r="I21" s="21"/>
    </row>
    <row xmlns:x14ac="http://schemas.microsoft.com/office/spreadsheetml/2009/9/ac" r="22" ht="19.5" customHeight="true" x14ac:dyDescent="0.25">
      <c r="B22" s="14"/>
      <c r="C22" s="6"/>
      <c r="D22" s="6"/>
      <c r="E22" s="6"/>
      <c r="F22" s="6"/>
      <c r="G22" s="6"/>
      <c r="H22" s="6"/>
      <c r="I22" s="6"/>
    </row>
  </sheetData>
  <mergeCells count="5">
    <mergeCell ref="F8:G8"/>
    <mergeCell ref="E4:I4"/>
    <mergeCell ref="E18:I18"/>
    <mergeCell ref="E21:I21"/>
    <mergeCell ref="F6:I6"/>
  </mergeCells>
  <printOptions horizontalCentered="true" verticalCentered="true"/>
  <pageMargins left="0" right="0" top="0.75" bottom="0.75" header="0.3" footer="0.3"/>
  <pageSetup paperSize="11" scale="87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exp_arms</vt:lpstr>
      <vt:lpstr>consort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Meza Lopez, Isaac</cp:lastModifiedBy>
  <cp:lastPrinted>2024-10-10T18:51:40Z</cp:lastPrinted>
  <dcterms:created xsi:type="dcterms:W3CDTF">2022-01-29T04:07:30Z</dcterms:created>
  <dcterms:modified xsi:type="dcterms:W3CDTF">2026-08-21T06:40:29Z</dcterms:modified>
</cp:coreProperties>
</file>